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uis.gendronherndon\Downloads\"/>
    </mc:Choice>
  </mc:AlternateContent>
  <xr:revisionPtr revIDLastSave="0" documentId="13_ncr:1_{9D3AA18F-6E80-4F7F-ACFF-2365C5232C14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My Lists 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1" l="1"/>
</calcChain>
</file>

<file path=xl/sharedStrings.xml><?xml version="1.0" encoding="utf-8"?>
<sst xmlns="http://schemas.openxmlformats.org/spreadsheetml/2006/main" count="143" uniqueCount="96">
  <si>
    <t>Index</t>
  </si>
  <si>
    <t>Manufacturer Part Number</t>
  </si>
  <si>
    <t>Manufacturer Name</t>
  </si>
  <si>
    <t>Description</t>
  </si>
  <si>
    <t>Requested Quantity 1</t>
  </si>
  <si>
    <t>Pack Quantity 1</t>
  </si>
  <si>
    <t>Pack Type 1</t>
  </si>
  <si>
    <t>Digi-Key Part Number 1</t>
  </si>
  <si>
    <t>Unit Price 1</t>
  </si>
  <si>
    <t>Extended Price 1</t>
  </si>
  <si>
    <t>Minimum Order Quantity 1</t>
  </si>
  <si>
    <t>Datasheet</t>
  </si>
  <si>
    <t>Reference Designator</t>
  </si>
  <si>
    <t>US Import Tariff</t>
  </si>
  <si>
    <t>Note</t>
  </si>
  <si>
    <t>Part Status</t>
  </si>
  <si>
    <t>Original Part numbers</t>
  </si>
  <si>
    <t>TSSP53038</t>
  </si>
  <si>
    <t>Vishay Semiconductor Opto Division</t>
  </si>
  <si>
    <t>SENSOR OPT 940NM IR RADIAL 3</t>
  </si>
  <si>
    <t>Bulk</t>
  </si>
  <si>
    <t>751-TSSP53038-ND</t>
  </si>
  <si>
    <t>0.70300</t>
  </si>
  <si>
    <t>https://www.vishay.com/docs/82780/tssp530.pdf</t>
  </si>
  <si>
    <t/>
  </si>
  <si>
    <t>N/A</t>
  </si>
  <si>
    <t>Active</t>
  </si>
  <si>
    <t>MIC5219-5.0YM5-TR</t>
  </si>
  <si>
    <t>Microchip Technology</t>
  </si>
  <si>
    <t>IC REG LINEAR 5V 500MA SOT23-5</t>
  </si>
  <si>
    <t>Cut Tape (CT)</t>
  </si>
  <si>
    <t>576-2770-1-ND</t>
  </si>
  <si>
    <t>1.19000</t>
  </si>
  <si>
    <t>https://ww1.microchip.com/downloads/aemDocuments/documents/OTH/ProductDocuments/DataSheets/MIC5219-500mA-Peak-Output-LDO-Regulator-DS20006021A.pdf</t>
  </si>
  <si>
    <t>576-2770-2-ND</t>
  </si>
  <si>
    <t>J104D2C5VDC.15S</t>
  </si>
  <si>
    <t>CIT Relay and Switch</t>
  </si>
  <si>
    <t>RELAY GENERAL PURPOSE DPDT 2A 5V</t>
  </si>
  <si>
    <t>Tube</t>
  </si>
  <si>
    <t>2449-J104D2C5VDC.15S-ND</t>
  </si>
  <si>
    <t>1.30000</t>
  </si>
  <si>
    <t>https://www.citrelay.com/wp-content/uploads/2025/05/Relay-J104D.pdf</t>
  </si>
  <si>
    <t>May apply on shipments to the U.S.</t>
  </si>
  <si>
    <t>MMBT3904-TP</t>
  </si>
  <si>
    <t>MCC (Micro Commercial Components)</t>
  </si>
  <si>
    <t>TRANS NPN 40V 0.2A SOT-23</t>
  </si>
  <si>
    <t>MMBT3904TPMSCT-ND</t>
  </si>
  <si>
    <t>0.06300</t>
  </si>
  <si>
    <t>https://www.mccsemi.com/pdf/Products/MMBT3904(SOT-23).pdf</t>
  </si>
  <si>
    <t>MMBT3904TPMSTR-ND</t>
  </si>
  <si>
    <t>PJ-002A</t>
  </si>
  <si>
    <t>Same Sky (Formerly CUI Devices)</t>
  </si>
  <si>
    <t>CONN PWR JACK 2X5.5MM SOLDER</t>
  </si>
  <si>
    <t>Bag</t>
  </si>
  <si>
    <t>CP-002A-ND</t>
  </si>
  <si>
    <t>0.44200</t>
  </si>
  <si>
    <t>https://www.sameskydevices.com/product/resource/pj-002a.pdf</t>
  </si>
  <si>
    <t>FIT0492-B</t>
  </si>
  <si>
    <t>DFRobot</t>
  </si>
  <si>
    <t>GEARMOTOR 100 RPM 12V METAL</t>
  </si>
  <si>
    <t>1738-1271-ND</t>
  </si>
  <si>
    <t>11.90000</t>
  </si>
  <si>
    <t>https://mm.digikey.com/Volume0/opasdata/d220001/medias/docus/7153/FIT0492-B.pdf</t>
  </si>
  <si>
    <t>A3909GLNTR-T</t>
  </si>
  <si>
    <t>Allegro MicroSystems</t>
  </si>
  <si>
    <t>IC FULL BRIDGE DRIVER 1A 10-SOP</t>
  </si>
  <si>
    <t>620-1498-1-ND</t>
  </si>
  <si>
    <t>0.90200</t>
  </si>
  <si>
    <t>https://www.allegromicro.com/~/media/Files/Datasheets/A3909-Datasheet.ashx</t>
  </si>
  <si>
    <t>620-1498-2-ND</t>
  </si>
  <si>
    <t>CL10C471JB8NNNC</t>
  </si>
  <si>
    <t>Samsung Electro-Mechanics</t>
  </si>
  <si>
    <t>CAP CER 470PF 50V C0G/NP0 0603</t>
  </si>
  <si>
    <t>1276-1168-1-ND</t>
  </si>
  <si>
    <t>0.04100</t>
  </si>
  <si>
    <t>https://weblib.samsungsem.com/mlcc/mlcc-ec-data-sheet.do?partNumber=CL05Y105KP6VPN</t>
  </si>
  <si>
    <t>1276-1168-2-ND</t>
  </si>
  <si>
    <t>CL10B105KO8NNNC</t>
  </si>
  <si>
    <t>CAP CER 1UF 16V X7R 0603</t>
  </si>
  <si>
    <t>1276-1019-1-ND</t>
  </si>
  <si>
    <t>0.00700</t>
  </si>
  <si>
    <t>https://weblib.samsungsem.com/mlcc/mlcc-ec-data-sheet.do?partNumber=CL10B105KO8NNN</t>
  </si>
  <si>
    <t>1276-1019-2-ND</t>
  </si>
  <si>
    <t>CRCW08053K90FKEAC</t>
  </si>
  <si>
    <t>Vishay Dale</t>
  </si>
  <si>
    <t>RES 3.9K OHM 1% 1/8W 0805</t>
  </si>
  <si>
    <t>541-CRCW08053K90FKEACCT-ND</t>
  </si>
  <si>
    <t>0.04000</t>
  </si>
  <si>
    <t>https://www.vishay.com/docs/28773/crcwce3.pdf</t>
  </si>
  <si>
    <t>541-CRCW08053K90FKEACTR-ND</t>
  </si>
  <si>
    <t>PCB VERSION : 2</t>
  </si>
  <si>
    <t>BOM VERSION: 2</t>
  </si>
  <si>
    <t>Total:</t>
  </si>
  <si>
    <t>REVISION DATES</t>
  </si>
  <si>
    <t>REV 2 11-13-2025</t>
  </si>
  <si>
    <t>REV 1: 10-23-2025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</si>
</sst>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name val="Calibri"/>
    </font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44" fontId="0" fillId="0" borderId="0" xfId="1" applyFont="1"/>
    <xf numFmtId="0" fontId="2" fillId="0" borderId="0" xfId="0" applyFont="1"/>
    <xf numFmtId="44" fontId="2" fillId="0" borderId="0" xfId="1" applyFont="1"/>
    <xf numFmtId="0" fontId="3" fillId="0" borderId="0" xfId="0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eblib.samsungsem.com/mlcc/mlcc-ec-data-sheet.do?partNumber=CL05Y105KP6VPN" TargetMode="External"/><Relationship Id="rId3" Type="http://schemas.openxmlformats.org/officeDocument/2006/relationships/hyperlink" Target="https://www.citrelay.com/wp-content/uploads/2025/05/Relay-J104D.pdf" TargetMode="External"/><Relationship Id="rId7" Type="http://schemas.openxmlformats.org/officeDocument/2006/relationships/hyperlink" Target="https://www.allegromicro.com/~/media/Files/Datasheets/A3909-Datasheet.ashx" TargetMode="External"/><Relationship Id="rId2" Type="http://schemas.openxmlformats.org/officeDocument/2006/relationships/hyperlink" Target="https://ww1.microchip.com/downloads/aemDocuments/documents/OTH/ProductDocuments/DataSheets/MIC5219-500mA-Peak-Output-LDO-Regulator-DS20006021A.pdf" TargetMode="External"/><Relationship Id="rId1" Type="http://schemas.openxmlformats.org/officeDocument/2006/relationships/hyperlink" Target="https://www.vishay.com/docs/82780/tssp530.pdf" TargetMode="External"/><Relationship Id="rId6" Type="http://schemas.openxmlformats.org/officeDocument/2006/relationships/hyperlink" Target="https://mm.digikey.com/Volume0/opasdata/d220001/medias/docus/7153/FIT0492-B.pdf" TargetMode="External"/><Relationship Id="rId5" Type="http://schemas.openxmlformats.org/officeDocument/2006/relationships/hyperlink" Target="https://www.sameskydevices.com/product/resource/pj-002a.pdf" TargetMode="External"/><Relationship Id="rId10" Type="http://schemas.openxmlformats.org/officeDocument/2006/relationships/hyperlink" Target="https://www.vishay.com/docs/28773/crcwce3.pdf" TargetMode="External"/><Relationship Id="rId4" Type="http://schemas.openxmlformats.org/officeDocument/2006/relationships/hyperlink" Target="https://www.mccsemi.com/pdf/Products/MMBT3904(SOT-23).pdf" TargetMode="External"/><Relationship Id="rId9" Type="http://schemas.openxmlformats.org/officeDocument/2006/relationships/hyperlink" Target="https://weblib.samsungsem.com/mlcc/mlcc-ec-data-sheet.do?partNumber=CL10B105KO8NN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"/>
  <sheetViews>
    <sheetView tabSelected="1" workbookViewId="0">
      <selection activeCell="C19" sqref="C19"/>
    </sheetView>
  </sheetViews>
  <sheetFormatPr defaultRowHeight="15" x14ac:dyDescent="0.25"/>
  <cols>
    <col min="2" max="2" width="18.5703125" customWidth="1"/>
    <col min="3" max="3" width="30" customWidth="1"/>
    <col min="4" max="4" width="38" customWidth="1"/>
    <col min="5" max="6" width="18.42578125" customWidth="1"/>
    <col min="7" max="7" width="11.140625" customWidth="1"/>
    <col min="8" max="8" width="21" customWidth="1"/>
  </cols>
  <sheetData>
    <row r="1" spans="1:17" x14ac:dyDescent="0.25">
      <c r="A1" t="s">
        <v>90</v>
      </c>
    </row>
    <row r="2" spans="1:17" x14ac:dyDescent="0.25">
      <c r="A2" t="s">
        <v>91</v>
      </c>
    </row>
    <row r="3" spans="1:17" s="1" customFormat="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</row>
    <row r="4" spans="1:17" x14ac:dyDescent="0.25">
      <c r="A4">
        <v>1</v>
      </c>
      <c r="B4" t="s">
        <v>17</v>
      </c>
      <c r="C4" t="s">
        <v>18</v>
      </c>
      <c r="D4" t="s">
        <v>19</v>
      </c>
      <c r="E4">
        <v>10</v>
      </c>
      <c r="F4">
        <v>10</v>
      </c>
      <c r="G4" t="s">
        <v>20</v>
      </c>
      <c r="H4" t="s">
        <v>21</v>
      </c>
      <c r="I4" t="s">
        <v>22</v>
      </c>
      <c r="J4" s="2">
        <v>7.03</v>
      </c>
      <c r="K4">
        <v>1</v>
      </c>
      <c r="L4" t="s">
        <v>23</v>
      </c>
      <c r="M4" t="s">
        <v>24</v>
      </c>
      <c r="N4" t="s">
        <v>25</v>
      </c>
      <c r="O4" t="s">
        <v>24</v>
      </c>
      <c r="P4" t="s">
        <v>26</v>
      </c>
      <c r="Q4" t="s">
        <v>21</v>
      </c>
    </row>
    <row r="5" spans="1:17" x14ac:dyDescent="0.25">
      <c r="A5">
        <v>2</v>
      </c>
      <c r="B5" t="s">
        <v>27</v>
      </c>
      <c r="C5" t="s">
        <v>28</v>
      </c>
      <c r="D5" t="s">
        <v>29</v>
      </c>
      <c r="E5">
        <v>6</v>
      </c>
      <c r="F5">
        <v>6</v>
      </c>
      <c r="G5" t="s">
        <v>30</v>
      </c>
      <c r="H5" t="s">
        <v>31</v>
      </c>
      <c r="I5" t="s">
        <v>32</v>
      </c>
      <c r="J5" s="2">
        <v>7.14</v>
      </c>
      <c r="K5">
        <v>1</v>
      </c>
      <c r="L5" t="s">
        <v>33</v>
      </c>
      <c r="M5" t="s">
        <v>24</v>
      </c>
      <c r="N5" t="s">
        <v>25</v>
      </c>
      <c r="O5" t="s">
        <v>24</v>
      </c>
      <c r="P5" t="s">
        <v>26</v>
      </c>
      <c r="Q5" t="s">
        <v>34</v>
      </c>
    </row>
    <row r="6" spans="1:17" x14ac:dyDescent="0.25">
      <c r="A6">
        <v>3</v>
      </c>
      <c r="B6" t="s">
        <v>35</v>
      </c>
      <c r="C6" t="s">
        <v>36</v>
      </c>
      <c r="D6" t="s">
        <v>37</v>
      </c>
      <c r="E6">
        <v>6</v>
      </c>
      <c r="F6">
        <v>6</v>
      </c>
      <c r="G6" t="s">
        <v>38</v>
      </c>
      <c r="H6" t="s">
        <v>39</v>
      </c>
      <c r="I6" t="s">
        <v>40</v>
      </c>
      <c r="J6" s="2">
        <v>7.8</v>
      </c>
      <c r="K6">
        <v>1</v>
      </c>
      <c r="L6" t="s">
        <v>41</v>
      </c>
      <c r="M6" t="s">
        <v>24</v>
      </c>
      <c r="N6" t="s">
        <v>42</v>
      </c>
      <c r="O6" t="s">
        <v>24</v>
      </c>
      <c r="P6" t="s">
        <v>26</v>
      </c>
      <c r="Q6" t="s">
        <v>39</v>
      </c>
    </row>
    <row r="7" spans="1:17" x14ac:dyDescent="0.25">
      <c r="A7">
        <v>4</v>
      </c>
      <c r="B7" t="s">
        <v>43</v>
      </c>
      <c r="C7" t="s">
        <v>44</v>
      </c>
      <c r="D7" t="s">
        <v>45</v>
      </c>
      <c r="E7">
        <v>10</v>
      </c>
      <c r="F7">
        <v>10</v>
      </c>
      <c r="G7" t="s">
        <v>30</v>
      </c>
      <c r="H7" t="s">
        <v>46</v>
      </c>
      <c r="I7" t="s">
        <v>47</v>
      </c>
      <c r="J7" s="2">
        <v>0.63</v>
      </c>
      <c r="K7">
        <v>1</v>
      </c>
      <c r="L7" t="s">
        <v>48</v>
      </c>
      <c r="M7" t="s">
        <v>24</v>
      </c>
      <c r="N7" t="s">
        <v>42</v>
      </c>
      <c r="O7" t="s">
        <v>24</v>
      </c>
      <c r="P7" t="s">
        <v>26</v>
      </c>
      <c r="Q7" t="s">
        <v>49</v>
      </c>
    </row>
    <row r="8" spans="1:17" x14ac:dyDescent="0.25">
      <c r="A8">
        <v>5</v>
      </c>
      <c r="B8" t="s">
        <v>50</v>
      </c>
      <c r="C8" t="s">
        <v>51</v>
      </c>
      <c r="D8" t="s">
        <v>52</v>
      </c>
      <c r="E8">
        <v>10</v>
      </c>
      <c r="F8">
        <v>10</v>
      </c>
      <c r="G8" t="s">
        <v>53</v>
      </c>
      <c r="H8" t="s">
        <v>54</v>
      </c>
      <c r="I8" t="s">
        <v>55</v>
      </c>
      <c r="J8" s="2">
        <v>4.42</v>
      </c>
      <c r="K8">
        <v>1</v>
      </c>
      <c r="L8" t="s">
        <v>56</v>
      </c>
      <c r="M8" t="s">
        <v>24</v>
      </c>
      <c r="N8" t="s">
        <v>42</v>
      </c>
      <c r="O8" t="s">
        <v>24</v>
      </c>
      <c r="P8" t="s">
        <v>26</v>
      </c>
      <c r="Q8" t="s">
        <v>54</v>
      </c>
    </row>
    <row r="9" spans="1:17" x14ac:dyDescent="0.25">
      <c r="A9">
        <v>6</v>
      </c>
      <c r="B9" t="s">
        <v>57</v>
      </c>
      <c r="C9" t="s">
        <v>58</v>
      </c>
      <c r="D9" t="s">
        <v>59</v>
      </c>
      <c r="E9">
        <v>5</v>
      </c>
      <c r="F9">
        <v>5</v>
      </c>
      <c r="G9" t="s">
        <v>20</v>
      </c>
      <c r="H9" t="s">
        <v>60</v>
      </c>
      <c r="I9" t="s">
        <v>61</v>
      </c>
      <c r="J9" s="2">
        <v>59.5</v>
      </c>
      <c r="K9">
        <v>1</v>
      </c>
      <c r="L9" t="s">
        <v>62</v>
      </c>
      <c r="M9" t="s">
        <v>24</v>
      </c>
      <c r="N9" t="s">
        <v>42</v>
      </c>
      <c r="O9" t="s">
        <v>24</v>
      </c>
      <c r="P9" t="s">
        <v>26</v>
      </c>
      <c r="Q9" t="s">
        <v>60</v>
      </c>
    </row>
    <row r="10" spans="1:17" x14ac:dyDescent="0.25">
      <c r="A10">
        <v>7</v>
      </c>
      <c r="B10" t="s">
        <v>63</v>
      </c>
      <c r="C10" t="s">
        <v>64</v>
      </c>
      <c r="D10" t="s">
        <v>65</v>
      </c>
      <c r="E10">
        <v>10</v>
      </c>
      <c r="F10">
        <v>10</v>
      </c>
      <c r="G10" t="s">
        <v>30</v>
      </c>
      <c r="H10" t="s">
        <v>66</v>
      </c>
      <c r="I10" t="s">
        <v>67</v>
      </c>
      <c r="J10" s="2">
        <v>9.02</v>
      </c>
      <c r="K10">
        <v>1</v>
      </c>
      <c r="L10" t="s">
        <v>68</v>
      </c>
      <c r="M10" t="s">
        <v>24</v>
      </c>
      <c r="N10" t="s">
        <v>25</v>
      </c>
      <c r="O10" t="s">
        <v>24</v>
      </c>
      <c r="P10" t="s">
        <v>26</v>
      </c>
      <c r="Q10" t="s">
        <v>69</v>
      </c>
    </row>
    <row r="11" spans="1:17" x14ac:dyDescent="0.25">
      <c r="A11">
        <v>8</v>
      </c>
      <c r="B11" t="s">
        <v>70</v>
      </c>
      <c r="C11" t="s">
        <v>71</v>
      </c>
      <c r="D11" t="s">
        <v>72</v>
      </c>
      <c r="E11">
        <v>10</v>
      </c>
      <c r="F11">
        <v>10</v>
      </c>
      <c r="G11" t="s">
        <v>30</v>
      </c>
      <c r="H11" t="s">
        <v>73</v>
      </c>
      <c r="I11" t="s">
        <v>74</v>
      </c>
      <c r="J11" s="2">
        <v>0.41</v>
      </c>
      <c r="K11">
        <v>1</v>
      </c>
      <c r="L11" t="s">
        <v>75</v>
      </c>
      <c r="M11" t="s">
        <v>24</v>
      </c>
      <c r="N11" t="s">
        <v>25</v>
      </c>
      <c r="O11" t="s">
        <v>24</v>
      </c>
      <c r="P11" t="s">
        <v>26</v>
      </c>
      <c r="Q11" t="s">
        <v>76</v>
      </c>
    </row>
    <row r="12" spans="1:17" x14ac:dyDescent="0.25">
      <c r="A12">
        <v>9</v>
      </c>
      <c r="B12" t="s">
        <v>77</v>
      </c>
      <c r="C12" t="s">
        <v>71</v>
      </c>
      <c r="D12" t="s">
        <v>78</v>
      </c>
      <c r="E12">
        <v>40</v>
      </c>
      <c r="F12">
        <v>40</v>
      </c>
      <c r="G12" t="s">
        <v>30</v>
      </c>
      <c r="H12" t="s">
        <v>79</v>
      </c>
      <c r="I12" t="s">
        <v>80</v>
      </c>
      <c r="J12" s="2">
        <v>0.28000000000000003</v>
      </c>
      <c r="K12">
        <v>1</v>
      </c>
      <c r="L12" t="s">
        <v>81</v>
      </c>
      <c r="M12" t="s">
        <v>24</v>
      </c>
      <c r="N12" t="s">
        <v>42</v>
      </c>
      <c r="O12" t="s">
        <v>24</v>
      </c>
      <c r="P12" t="s">
        <v>26</v>
      </c>
      <c r="Q12" t="s">
        <v>82</v>
      </c>
    </row>
    <row r="13" spans="1:17" x14ac:dyDescent="0.25">
      <c r="A13">
        <v>10</v>
      </c>
      <c r="B13" t="s">
        <v>83</v>
      </c>
      <c r="C13" t="s">
        <v>84</v>
      </c>
      <c r="D13" t="s">
        <v>85</v>
      </c>
      <c r="E13">
        <v>10</v>
      </c>
      <c r="F13">
        <v>10</v>
      </c>
      <c r="G13" t="s">
        <v>30</v>
      </c>
      <c r="H13" t="s">
        <v>86</v>
      </c>
      <c r="I13" t="s">
        <v>87</v>
      </c>
      <c r="J13" s="2">
        <v>0.4</v>
      </c>
      <c r="K13">
        <v>1</v>
      </c>
      <c r="L13" t="s">
        <v>88</v>
      </c>
      <c r="M13" t="s">
        <v>24</v>
      </c>
      <c r="N13" t="s">
        <v>42</v>
      </c>
      <c r="O13" t="s">
        <v>24</v>
      </c>
      <c r="P13" t="s">
        <v>26</v>
      </c>
      <c r="Q13" t="s">
        <v>89</v>
      </c>
    </row>
    <row r="14" spans="1:17" x14ac:dyDescent="0.25">
      <c r="I14" s="3" t="s">
        <v>92</v>
      </c>
      <c r="J14" s="4">
        <f>SUM(J4:J13)</f>
        <v>96.63</v>
      </c>
    </row>
    <row r="16" spans="1:17" x14ac:dyDescent="0.25">
      <c r="A16" s="5" t="s">
        <v>93</v>
      </c>
    </row>
    <row r="17" spans="1:1" x14ac:dyDescent="0.25">
      <c r="A17" s="5" t="s">
        <v>94</v>
      </c>
    </row>
    <row r="18" spans="1:1" x14ac:dyDescent="0.25">
      <c r="A18" s="5" t="s">
        <v>95</v>
      </c>
    </row>
  </sheetData>
  <hyperlinks>
    <hyperlink ref="L4" r:id="rId1" xr:uid="{00000000-0004-0000-0000-000000000000}"/>
    <hyperlink ref="L5" r:id="rId2" xr:uid="{00000000-0004-0000-0000-000002000000}"/>
    <hyperlink ref="L6" r:id="rId3" xr:uid="{00000000-0004-0000-0000-000004000000}"/>
    <hyperlink ref="L7" r:id="rId4" xr:uid="{00000000-0004-0000-0000-000006000000}"/>
    <hyperlink ref="L8" r:id="rId5" xr:uid="{00000000-0004-0000-0000-000008000000}"/>
    <hyperlink ref="L9" r:id="rId6" xr:uid="{00000000-0004-0000-0000-00000A000000}"/>
    <hyperlink ref="L10" r:id="rId7" xr:uid="{00000000-0004-0000-0000-00000C000000}"/>
    <hyperlink ref="L11" r:id="rId8" xr:uid="{00000000-0004-0000-0000-00000E000000}"/>
    <hyperlink ref="L12" r:id="rId9" xr:uid="{00000000-0004-0000-0000-000010000000}"/>
    <hyperlink ref="L13" r:id="rId10" xr:uid="{00000000-0004-0000-0000-00001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Lists 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Gendron-Herndon, Louis</cp:lastModifiedBy>
  <dcterms:modified xsi:type="dcterms:W3CDTF">2025-11-13T18:32:14Z</dcterms:modified>
</cp:coreProperties>
</file>